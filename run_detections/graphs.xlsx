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said/Documents/experiment_knowornot/run_detections/"/>
    </mc:Choice>
  </mc:AlternateContent>
  <xr:revisionPtr revIDLastSave="0" documentId="13_ncr:1_{8B8A7F72-9020-5A4D-9D6F-19A76A55A462}" xr6:coauthVersionLast="47" xr6:coauthVersionMax="47" xr10:uidLastSave="{00000000-0000-0000-0000-000000000000}"/>
  <bookViews>
    <workbookView xWindow="4540" yWindow="1600" windowWidth="28040" windowHeight="16940" xr2:uid="{58DD0B8D-B051-2745-B1B3-AB042ABEA6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7" i="1" l="1"/>
  <c r="C42" i="1"/>
  <c r="D42" i="1"/>
  <c r="B42" i="1"/>
  <c r="B45" i="1" s="1"/>
  <c r="D41" i="1"/>
  <c r="C41" i="1"/>
  <c r="B41" i="1"/>
  <c r="B44" i="1" s="1"/>
  <c r="B48" i="1" l="1"/>
  <c r="B46" i="1"/>
</calcChain>
</file>

<file path=xl/sharedStrings.xml><?xml version="1.0" encoding="utf-8"?>
<sst xmlns="http://schemas.openxmlformats.org/spreadsheetml/2006/main" count="50" uniqueCount="32">
  <si>
    <t>Bedrock Guardrails</t>
  </si>
  <si>
    <t>Azure Content Safety</t>
  </si>
  <si>
    <t>DeepEval Faithfulness</t>
  </si>
  <si>
    <t>RAGAS Faithfulness</t>
  </si>
  <si>
    <t>Overall</t>
  </si>
  <si>
    <t>CPF</t>
  </si>
  <si>
    <t>BTT</t>
  </si>
  <si>
    <t>ICA</t>
  </si>
  <si>
    <t>Basic RAG</t>
  </si>
  <si>
    <t>Gemini</t>
  </si>
  <si>
    <t>Gemini certain</t>
  </si>
  <si>
    <t>HyDE RAG</t>
  </si>
  <si>
    <t>Long In Context</t>
  </si>
  <si>
    <t>AWS_BEDROCK_label</t>
  </si>
  <si>
    <t>AZURE_CONTENT_SAFETY_label</t>
  </si>
  <si>
    <t>DEEPEVAL_label</t>
  </si>
  <si>
    <t>RAGAS_label</t>
  </si>
  <si>
    <t>Medishield</t>
  </si>
  <si>
    <t>tier_3 884 310 300 tier_2 211 2 24 tier_1 253 2 42</t>
  </si>
  <si>
    <t xml:space="preserve">tier_3 </t>
  </si>
  <si>
    <t xml:space="preserve">tier_2 </t>
  </si>
  <si>
    <t>tier_1</t>
  </si>
  <si>
    <t>factual</t>
  </si>
  <si>
    <t>non_factual</t>
  </si>
  <si>
    <t>uncertain</t>
  </si>
  <si>
    <t>tier_3</t>
  </si>
  <si>
    <t xml:space="preserve">tier_1 + tier_2 </t>
  </si>
  <si>
    <t>TP</t>
  </si>
  <si>
    <t>FP</t>
  </si>
  <si>
    <t>precision</t>
  </si>
  <si>
    <t>FN</t>
  </si>
  <si>
    <t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</si>
</sst>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2" x14ac:knownFonts="1">
    <font>
      <sz val="12"/>
      <color theme="1"/>
      <name val="Calibri"/>
      <family val="2"/>
      <scheme val="minor"/>
    </font>
    <font>
      <sz val="12"/>
      <color rgb="FF1D1C1D"/>
      <name val="Monac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BF0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Helvetica Neue" panose="02000503000000020004" pitchFamily="2" charset="0"/>
                <a:ea typeface="Helvetica Neue" panose="02000503000000020004" pitchFamily="2" charset="0"/>
                <a:cs typeface="Helvetica Neue" panose="02000503000000020004" pitchFamily="2" charset="0"/>
              </a:defRPr>
            </a:pPr>
            <a:r>
              <a:rPr lang="en-GB">
                <a:latin typeface="Helvetica Neue" panose="02000503000000020004" pitchFamily="2" charset="0"/>
                <a:ea typeface="Helvetica Neue" panose="02000503000000020004" pitchFamily="2" charset="0"/>
                <a:cs typeface="Helvetica Neue" panose="02000503000000020004" pitchFamily="2" charset="0"/>
              </a:rPr>
              <a:t>Accuracy of Groundedness Detectors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Helvetica Neue" panose="02000503000000020004" pitchFamily="2" charset="0"/>
              <a:ea typeface="Helvetica Neue" panose="02000503000000020004" pitchFamily="2" charset="0"/>
              <a:cs typeface="Helvetica Neue" panose="02000503000000020004" pitchFamily="2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Bedrock Guardrails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Helvetica Neue" panose="02000503000000020004" pitchFamily="2" charset="0"/>
                    <a:ea typeface="Helvetica Neue" panose="02000503000000020004" pitchFamily="2" charset="0"/>
                    <a:cs typeface="Helvetica Neue" panose="02000503000000020004" pitchFamily="2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Sheet1!$B$1:$F$1</c:f>
              <c:strCache>
                <c:ptCount val="5"/>
                <c:pt idx="0">
                  <c:v>Overall</c:v>
                </c:pt>
                <c:pt idx="1">
                  <c:v>CPF</c:v>
                </c:pt>
                <c:pt idx="2">
                  <c:v>BTT</c:v>
                </c:pt>
                <c:pt idx="3">
                  <c:v>Medishield</c:v>
                </c:pt>
                <c:pt idx="4">
                  <c:v>ICA</c:v>
                </c:pt>
              </c:strCache>
            </c:strRef>
          </c:cat>
          <c:val>
            <c:numRef>
              <c:f>Sheet1!$B$2:$F$2</c:f>
              <c:numCache>
                <c:formatCode>0.0</c:formatCode>
                <c:ptCount val="5"/>
                <c:pt idx="0">
                  <c:v>37.229999999999997</c:v>
                </c:pt>
                <c:pt idx="1">
                  <c:v>39.76</c:v>
                </c:pt>
                <c:pt idx="2">
                  <c:v>24.34</c:v>
                </c:pt>
                <c:pt idx="3">
                  <c:v>30</c:v>
                </c:pt>
                <c:pt idx="4">
                  <c:v>39.19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40-034D-86B9-46515A7CA5A1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Azure Content Safety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Helvetica Neue" panose="02000503000000020004" pitchFamily="2" charset="0"/>
                    <a:ea typeface="Helvetica Neue" panose="02000503000000020004" pitchFamily="2" charset="0"/>
                    <a:cs typeface="Helvetica Neue" panose="02000503000000020004" pitchFamily="2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Sheet1!$B$1:$F$1</c:f>
              <c:strCache>
                <c:ptCount val="5"/>
                <c:pt idx="0">
                  <c:v>Overall</c:v>
                </c:pt>
                <c:pt idx="1">
                  <c:v>CPF</c:v>
                </c:pt>
                <c:pt idx="2">
                  <c:v>BTT</c:v>
                </c:pt>
                <c:pt idx="3">
                  <c:v>Medishield</c:v>
                </c:pt>
                <c:pt idx="4">
                  <c:v>ICA</c:v>
                </c:pt>
              </c:strCache>
            </c:strRef>
          </c:cat>
          <c:val>
            <c:numRef>
              <c:f>Sheet1!$B$3:$F$3</c:f>
              <c:numCache>
                <c:formatCode>0.0</c:formatCode>
                <c:ptCount val="5"/>
                <c:pt idx="0">
                  <c:v>51.03</c:v>
                </c:pt>
                <c:pt idx="1">
                  <c:v>57.4</c:v>
                </c:pt>
                <c:pt idx="2">
                  <c:v>32.799999999999997</c:v>
                </c:pt>
                <c:pt idx="3">
                  <c:v>67</c:v>
                </c:pt>
                <c:pt idx="4">
                  <c:v>47.79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40-034D-86B9-46515A7CA5A1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RAGAS Faithfulness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Helvetica Neue" panose="02000503000000020004" pitchFamily="2" charset="0"/>
                    <a:ea typeface="Helvetica Neue" panose="02000503000000020004" pitchFamily="2" charset="0"/>
                    <a:cs typeface="Helvetica Neue" panose="02000503000000020004" pitchFamily="2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Sheet1!$B$1:$F$1</c:f>
              <c:strCache>
                <c:ptCount val="5"/>
                <c:pt idx="0">
                  <c:v>Overall</c:v>
                </c:pt>
                <c:pt idx="1">
                  <c:v>CPF</c:v>
                </c:pt>
                <c:pt idx="2">
                  <c:v>BTT</c:v>
                </c:pt>
                <c:pt idx="3">
                  <c:v>Medishield</c:v>
                </c:pt>
                <c:pt idx="4">
                  <c:v>ICA</c:v>
                </c:pt>
              </c:strCache>
            </c:strRef>
          </c:cat>
          <c:val>
            <c:numRef>
              <c:f>Sheet1!$B$4:$F$4</c:f>
              <c:numCache>
                <c:formatCode>0.0</c:formatCode>
                <c:ptCount val="5"/>
                <c:pt idx="0">
                  <c:v>35.76</c:v>
                </c:pt>
                <c:pt idx="1">
                  <c:v>37.67</c:v>
                </c:pt>
                <c:pt idx="2">
                  <c:v>51.85</c:v>
                </c:pt>
                <c:pt idx="3">
                  <c:v>70</c:v>
                </c:pt>
                <c:pt idx="4">
                  <c:v>25.37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40-034D-86B9-46515A7CA5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7"/>
        <c:overlap val="2"/>
        <c:axId val="1772251871"/>
        <c:axId val="1693447647"/>
      </c:barChart>
      <c:catAx>
        <c:axId val="1772251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2"/>
                </a:solidFill>
                <a:latin typeface="Helvetica Neue" panose="02000503000000020004" pitchFamily="2" charset="0"/>
                <a:ea typeface="Helvetica Neue" panose="02000503000000020004" pitchFamily="2" charset="0"/>
                <a:cs typeface="Helvetica Neue" panose="02000503000000020004" pitchFamily="2" charset="0"/>
              </a:defRPr>
            </a:pPr>
            <a:endParaRPr lang="en-US"/>
          </a:p>
        </c:txPr>
        <c:crossAx val="1693447647"/>
        <c:crosses val="autoZero"/>
        <c:auto val="1"/>
        <c:lblAlgn val="ctr"/>
        <c:lblOffset val="100"/>
        <c:noMultiLvlLbl val="0"/>
      </c:catAx>
      <c:valAx>
        <c:axId val="169344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BF0F6"/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251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2"/>
              </a:solidFill>
              <a:latin typeface="Helvetica Neue" panose="02000503000000020004" pitchFamily="2" charset="0"/>
              <a:ea typeface="Helvetica Neue" panose="02000503000000020004" pitchFamily="2" charset="0"/>
              <a:cs typeface="Helvetica Neue" panose="02000503000000020004" pitchFamily="2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393700</xdr:colOff>
      <xdr:row>2</xdr:row>
      <xdr:rowOff>152400</xdr:rowOff>
    </xdr:from>
    <xdr:to>
      <xdr:col>13</xdr:col>
      <xdr:colOff>63500</xdr:colOff>
      <xdr:row>25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FFF904-0D0C-092C-6706-EECC440EFA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394E4-9955-184E-B035-16B699D64F6C}">
  <dimension ref="A1:F48"/>
  <sheetViews>
    <sheetView tabSelected="1" topLeftCell="A20" workbookViewId="0">
      <selection activeCell="F32" sqref="F32"/>
    </sheetView>
  </sheetViews>
  <sheetFormatPr baseColWidth="10" defaultRowHeight="16" x14ac:dyDescent="0.2"/>
  <cols>
    <col min="1" max="1" width="26.1640625" customWidth="1"/>
    <col min="2" max="2" width="17.33203125" customWidth="1"/>
    <col min="3" max="3" width="18.83203125" customWidth="1"/>
    <col min="4" max="4" width="20.1640625" customWidth="1"/>
  </cols>
  <sheetData>
    <row r="1" spans="1:6" x14ac:dyDescent="0.2">
      <c r="B1" t="s">
        <v>4</v>
      </c>
      <c r="C1" t="s">
        <v>5</v>
      </c>
      <c r="D1" t="s">
        <v>6</v>
      </c>
      <c r="E1" t="s">
        <v>17</v>
      </c>
      <c r="F1" t="s">
        <v>7</v>
      </c>
    </row>
    <row r="2" spans="1:6" x14ac:dyDescent="0.2">
      <c r="A2" t="s">
        <v>0</v>
      </c>
      <c r="B2" s="1">
        <v>37.229999999999997</v>
      </c>
      <c r="C2" s="1">
        <v>39.76</v>
      </c>
      <c r="D2" s="1">
        <v>24.34</v>
      </c>
      <c r="E2" s="1">
        <v>30</v>
      </c>
      <c r="F2" s="1">
        <v>39.19</v>
      </c>
    </row>
    <row r="3" spans="1:6" x14ac:dyDescent="0.2">
      <c r="A3" t="s">
        <v>1</v>
      </c>
      <c r="B3" s="1">
        <v>51.03</v>
      </c>
      <c r="C3" s="1">
        <v>57.4</v>
      </c>
      <c r="D3" s="1">
        <v>32.799999999999997</v>
      </c>
      <c r="E3" s="1">
        <v>67</v>
      </c>
      <c r="F3" s="1">
        <v>47.79</v>
      </c>
    </row>
    <row r="4" spans="1:6" x14ac:dyDescent="0.2">
      <c r="A4" t="s">
        <v>3</v>
      </c>
      <c r="B4" s="1">
        <v>35.76</v>
      </c>
      <c r="C4" s="1">
        <v>37.67</v>
      </c>
      <c r="D4" s="1">
        <v>51.85</v>
      </c>
      <c r="E4" s="1">
        <v>70</v>
      </c>
      <c r="F4" s="1">
        <v>25.37</v>
      </c>
    </row>
    <row r="5" spans="1:6" x14ac:dyDescent="0.2">
      <c r="A5" t="s">
        <v>2</v>
      </c>
      <c r="B5">
        <v>1.82</v>
      </c>
      <c r="C5">
        <v>1.2</v>
      </c>
      <c r="D5">
        <v>2.12</v>
      </c>
      <c r="E5">
        <v>19</v>
      </c>
      <c r="F5">
        <v>1.21</v>
      </c>
    </row>
    <row r="7" spans="1:6" x14ac:dyDescent="0.2">
      <c r="A7" t="s">
        <v>9</v>
      </c>
      <c r="B7">
        <v>23.12</v>
      </c>
      <c r="C7">
        <v>19.670000000000002</v>
      </c>
      <c r="D7">
        <v>31.56</v>
      </c>
      <c r="E7">
        <v>33.76</v>
      </c>
      <c r="F7">
        <v>20.02</v>
      </c>
    </row>
    <row r="8" spans="1:6" x14ac:dyDescent="0.2">
      <c r="A8" t="s">
        <v>10</v>
      </c>
      <c r="B8">
        <v>34.65</v>
      </c>
      <c r="C8">
        <v>31.68</v>
      </c>
      <c r="D8">
        <v>56.2</v>
      </c>
      <c r="E8">
        <v>56.58</v>
      </c>
      <c r="F8">
        <v>31.15</v>
      </c>
    </row>
    <row r="10" spans="1:6" x14ac:dyDescent="0.2">
      <c r="B10" t="s">
        <v>4</v>
      </c>
      <c r="C10" t="s">
        <v>8</v>
      </c>
      <c r="D10" t="s">
        <v>11</v>
      </c>
      <c r="E10" t="s">
        <v>12</v>
      </c>
    </row>
    <row r="11" spans="1:6" x14ac:dyDescent="0.2">
      <c r="A11" t="s">
        <v>0</v>
      </c>
      <c r="B11">
        <v>37.229999999999997</v>
      </c>
      <c r="C11">
        <v>12.78</v>
      </c>
      <c r="D11">
        <v>13.08</v>
      </c>
      <c r="E11">
        <v>77.989999999999995</v>
      </c>
    </row>
    <row r="12" spans="1:6" x14ac:dyDescent="0.2">
      <c r="A12" t="s">
        <v>1</v>
      </c>
      <c r="B12">
        <v>51.03</v>
      </c>
      <c r="C12">
        <v>26.32</v>
      </c>
      <c r="D12">
        <v>30.28</v>
      </c>
      <c r="E12">
        <v>89.15</v>
      </c>
    </row>
    <row r="13" spans="1:6" x14ac:dyDescent="0.2">
      <c r="A13" t="s">
        <v>3</v>
      </c>
      <c r="B13">
        <v>35.76</v>
      </c>
      <c r="C13">
        <v>33.83</v>
      </c>
      <c r="D13">
        <v>32.53</v>
      </c>
      <c r="E13">
        <v>40.090000000000003</v>
      </c>
    </row>
    <row r="14" spans="1:6" x14ac:dyDescent="0.2">
      <c r="A14" t="s">
        <v>2</v>
      </c>
      <c r="B14">
        <v>1.82</v>
      </c>
      <c r="C14">
        <v>1.69</v>
      </c>
      <c r="D14">
        <v>2.99</v>
      </c>
      <c r="E14">
        <v>0.94</v>
      </c>
    </row>
    <row r="17" spans="1:5" x14ac:dyDescent="0.2">
      <c r="B17" t="s">
        <v>13</v>
      </c>
      <c r="C17" t="s">
        <v>14</v>
      </c>
      <c r="D17" t="s">
        <v>15</v>
      </c>
      <c r="E17" t="s">
        <v>16</v>
      </c>
    </row>
    <row r="18" spans="1:5" x14ac:dyDescent="0.2">
      <c r="A18" t="s">
        <v>13</v>
      </c>
      <c r="B18">
        <v>1</v>
      </c>
      <c r="C18">
        <v>0.9</v>
      </c>
      <c r="D18">
        <v>0</v>
      </c>
      <c r="E18">
        <v>0.43</v>
      </c>
    </row>
    <row r="19" spans="1:5" x14ac:dyDescent="0.2">
      <c r="A19" t="s">
        <v>14</v>
      </c>
      <c r="B19">
        <v>0.66</v>
      </c>
      <c r="C19">
        <v>1</v>
      </c>
      <c r="D19">
        <v>0.01</v>
      </c>
      <c r="E19">
        <v>0.47</v>
      </c>
    </row>
    <row r="20" spans="1:5" x14ac:dyDescent="0.2">
      <c r="A20" t="s">
        <v>15</v>
      </c>
      <c r="B20">
        <v>0.1</v>
      </c>
      <c r="C20">
        <v>0.39</v>
      </c>
      <c r="D20">
        <v>1</v>
      </c>
      <c r="E20">
        <v>0.68</v>
      </c>
    </row>
    <row r="21" spans="1:5" x14ac:dyDescent="0.2">
      <c r="A21" t="s">
        <v>16</v>
      </c>
      <c r="B21">
        <v>0.45</v>
      </c>
      <c r="C21">
        <v>0.67</v>
      </c>
      <c r="D21">
        <v>0.03</v>
      </c>
      <c r="E21">
        <v>1</v>
      </c>
    </row>
    <row r="24" spans="1:5" x14ac:dyDescent="0.2">
      <c r="B24" t="s">
        <v>0</v>
      </c>
      <c r="C24" t="s">
        <v>1</v>
      </c>
      <c r="D24" t="s">
        <v>3</v>
      </c>
    </row>
    <row r="25" spans="1:5" x14ac:dyDescent="0.2">
      <c r="A25" t="s">
        <v>0</v>
      </c>
      <c r="B25">
        <v>1</v>
      </c>
      <c r="C25">
        <v>0.9</v>
      </c>
      <c r="D25">
        <v>0.43</v>
      </c>
    </row>
    <row r="26" spans="1:5" x14ac:dyDescent="0.2">
      <c r="A26" t="s">
        <v>1</v>
      </c>
      <c r="B26">
        <v>0.66</v>
      </c>
      <c r="C26">
        <v>1</v>
      </c>
      <c r="D26">
        <v>0.47</v>
      </c>
    </row>
    <row r="27" spans="1:5" x14ac:dyDescent="0.2">
      <c r="A27" t="s">
        <v>3</v>
      </c>
      <c r="B27">
        <v>0.45</v>
      </c>
      <c r="C27">
        <v>0.67</v>
      </c>
      <c r="D27">
        <v>1</v>
      </c>
    </row>
    <row r="33" spans="1:4" x14ac:dyDescent="0.2">
      <c r="A33" s="2" t="s">
        <v>18</v>
      </c>
    </row>
    <row r="34" spans="1:4" x14ac:dyDescent="0.2">
      <c r="B34" t="s">
        <v>22</v>
      </c>
      <c r="C34" t="s">
        <v>23</v>
      </c>
      <c r="D34" t="s">
        <v>24</v>
      </c>
    </row>
    <row r="35" spans="1:4" x14ac:dyDescent="0.2">
      <c r="A35" t="s">
        <v>19</v>
      </c>
      <c r="B35">
        <v>884</v>
      </c>
      <c r="C35">
        <v>310</v>
      </c>
      <c r="D35">
        <v>300</v>
      </c>
    </row>
    <row r="36" spans="1:4" x14ac:dyDescent="0.2">
      <c r="A36" t="s">
        <v>20</v>
      </c>
      <c r="B36">
        <v>211</v>
      </c>
      <c r="C36">
        <v>2</v>
      </c>
      <c r="D36">
        <v>24</v>
      </c>
    </row>
    <row r="37" spans="1:4" x14ac:dyDescent="0.2">
      <c r="A37" t="s">
        <v>21</v>
      </c>
      <c r="B37">
        <v>253</v>
      </c>
      <c r="C37">
        <v>2</v>
      </c>
      <c r="D37">
        <v>42</v>
      </c>
    </row>
    <row r="40" spans="1:4" x14ac:dyDescent="0.2">
      <c r="B40" t="s">
        <v>22</v>
      </c>
      <c r="C40" t="s">
        <v>23</v>
      </c>
      <c r="D40" t="s">
        <v>24</v>
      </c>
    </row>
    <row r="41" spans="1:4" x14ac:dyDescent="0.2">
      <c r="A41" t="s">
        <v>26</v>
      </c>
      <c r="B41">
        <f>B36+B37</f>
        <v>464</v>
      </c>
      <c r="C41">
        <f>C36+C37</f>
        <v>4</v>
      </c>
      <c r="D41">
        <f>D36+D37</f>
        <v>66</v>
      </c>
    </row>
    <row r="42" spans="1:4" x14ac:dyDescent="0.2">
      <c r="A42" t="s">
        <v>25</v>
      </c>
      <c r="B42">
        <f>B35</f>
        <v>884</v>
      </c>
      <c r="C42">
        <f>C35</f>
        <v>310</v>
      </c>
      <c r="D42">
        <f>D35</f>
        <v>300</v>
      </c>
    </row>
    <row r="44" spans="1:4" x14ac:dyDescent="0.2">
      <c r="A44" t="s">
        <v>27</v>
      </c>
      <c r="B44">
        <f>B41</f>
        <v>464</v>
      </c>
    </row>
    <row r="45" spans="1:4" x14ac:dyDescent="0.2">
      <c r="A45" t="s">
        <v>28</v>
      </c>
      <c r="B45">
        <f>B42</f>
        <v>884</v>
      </c>
    </row>
    <row r="46" spans="1:4" x14ac:dyDescent="0.2">
      <c r="A46" t="s">
        <v>29</v>
      </c>
      <c r="B46">
        <f>B44/(B44+B45)</f>
        <v>0.34421364985163205</v>
      </c>
    </row>
    <row r="47" spans="1:4" x14ac:dyDescent="0.2">
      <c r="A47" t="s">
        <v>30</v>
      </c>
      <c r="B47">
        <f>SUM(C41:D41)</f>
        <v>70</v>
      </c>
    </row>
    <row r="48" spans="1:4" x14ac:dyDescent="0.2">
      <c r="A48" t="s">
        <v>31</v>
      </c>
      <c r="B48">
        <f>B44/(B44+B47)</f>
        <v>0.86891385767790263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DSAID</dc:creator>
  <cp:lastModifiedBy>DSAID</cp:lastModifiedBy>
  <dcterms:created xsi:type="dcterms:W3CDTF">2025-06-24T08:54:57Z</dcterms:created>
  <dcterms:modified xsi:type="dcterms:W3CDTF">2025-06-30T04:06:14Z</dcterms:modified>
</cp:coreProperties>
</file>